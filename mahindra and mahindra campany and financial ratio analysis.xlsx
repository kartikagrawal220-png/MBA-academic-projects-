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arti\AppData\Local\Packages\5319275A.WhatsAppDesktop_cv1g1gvanyjgm\LocalState\sessions\870D41A42ED601830DC38758D02F2A32AF0763C7\transfers\2026-39\"/>
    </mc:Choice>
  </mc:AlternateContent>
  <xr:revisionPtr revIDLastSave="0" documentId="13_ncr:1_{10DA2D7B-CFAE-44C2-8246-15F08A717E66}" xr6:coauthVersionLast="47" xr6:coauthVersionMax="47" xr10:uidLastSave="{00000000-0000-0000-0000-000000000000}"/>
  <bookViews>
    <workbookView xWindow="-110" yWindow="-110" windowWidth="19420" windowHeight="10300" firstSheet="1" activeTab="1" xr2:uid="{6F4C4BA9-30E1-4806-BFE1-0D7BC1B891F8}"/>
  </bookViews>
  <sheets>
    <sheet name="introduction and title " sheetId="2" r:id="rId1"/>
    <sheet name="balance sheet " sheetId="1" r:id="rId2"/>
    <sheet name="profit and loss statement " sheetId="3" r:id="rId3"/>
    <sheet name="cash flow" sheetId="5" r:id="rId4"/>
    <sheet name="ratio analysi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7" i="6" l="1"/>
  <c r="F14" i="6"/>
  <c r="E14" i="6"/>
  <c r="E17" i="6"/>
  <c r="F17" i="6"/>
  <c r="E16" i="6"/>
  <c r="F15" i="6"/>
  <c r="E15" i="6"/>
  <c r="F12" i="6"/>
  <c r="E12" i="6"/>
  <c r="F11" i="6"/>
  <c r="E11" i="6"/>
  <c r="F10" i="6"/>
  <c r="E10" i="6"/>
  <c r="F8" i="6"/>
  <c r="E8" i="6"/>
  <c r="F7" i="6"/>
  <c r="F5" i="6"/>
  <c r="E5" i="6"/>
  <c r="F4" i="6"/>
  <c r="E4" i="6"/>
</calcChain>
</file>

<file path=xl/sharedStrings.xml><?xml version="1.0" encoding="utf-8"?>
<sst xmlns="http://schemas.openxmlformats.org/spreadsheetml/2006/main" count="210" uniqueCount="196">
  <si>
    <t>Equity share capital</t>
  </si>
  <si>
    <t>Other equity</t>
  </si>
  <si>
    <t>Equity attributable to owners of the company</t>
  </si>
  <si>
    <t>Non-controlling interests</t>
  </si>
  <si>
    <t>TOTAL EQUITY</t>
  </si>
  <si>
    <t>Financial liabilities - Borrowings</t>
  </si>
  <si>
    <t>Financial liabilities - Compulsorily convertible preference shares</t>
  </si>
  <si>
    <t>Financial liabilities - Lease liabilities</t>
  </si>
  <si>
    <t>Financial liabilities - Other financial liabilities</t>
  </si>
  <si>
    <t>Provisions</t>
  </si>
  <si>
    <t>Deferred tax liabilities (net)</t>
  </si>
  <si>
    <t>Other non-current liabilities</t>
  </si>
  <si>
    <t>TOTAL NON-CURRENT LIABILITIES</t>
  </si>
  <si>
    <t>Trade payables - Micro and small enterprises</t>
  </si>
  <si>
    <t>Trade payables - Creditors other than micro and small enterprises</t>
  </si>
  <si>
    <t>Other current liabilities</t>
  </si>
  <si>
    <t>Current tax liabilities (net)</t>
  </si>
  <si>
    <t>TOTAL CURRENT LIABILITIES</t>
  </si>
  <si>
    <t>Property, plant and equipment</t>
  </si>
  <si>
    <t>Capital work-in-progress</t>
  </si>
  <si>
    <t>Goodwill</t>
  </si>
  <si>
    <t>Other intangible assets</t>
  </si>
  <si>
    <t>Intangible assets under development</t>
  </si>
  <si>
    <t>Investments accounted using equity method</t>
  </si>
  <si>
    <t>Financial assets - Investments</t>
  </si>
  <si>
    <t>Financial assets - Trade receivables</t>
  </si>
  <si>
    <t>Financial assets - Loans</t>
  </si>
  <si>
    <t>Financial assets - Other financial assets</t>
  </si>
  <si>
    <t>Deferred tax assets (net)</t>
  </si>
  <si>
    <t>Income tax assets (net)</t>
  </si>
  <si>
    <t>Other non-current assets</t>
  </si>
  <si>
    <t>TOTAL NON-CURRENT ASSETS</t>
  </si>
  <si>
    <t>Inventories</t>
  </si>
  <si>
    <t>Financial assets - Cash and cash equivalents</t>
  </si>
  <si>
    <t>Financial assets - Bank balances other than cash and cash equivalents</t>
  </si>
  <si>
    <t>Other current assets</t>
  </si>
  <si>
    <t>Assets held for sale</t>
  </si>
  <si>
    <t>TOTAL CURRENT ASSETS</t>
  </si>
  <si>
    <t>Particulars</t>
  </si>
  <si>
    <t>A. EQUITY AND LIABILITIES</t>
  </si>
  <si>
    <t>1.EQUITY</t>
  </si>
  <si>
    <t>2. LIABILITIES</t>
  </si>
  <si>
    <t xml:space="preserve">A)ASSETS </t>
  </si>
  <si>
    <t>TOTAL EQUITY AND LIABILITIES</t>
  </si>
  <si>
    <t>TOTAL ASSETS</t>
  </si>
  <si>
    <t xml:space="preserve">PERTICULERS </t>
  </si>
  <si>
    <t xml:space="preserve">a)NON CURRENT LAIBILITIES </t>
  </si>
  <si>
    <t xml:space="preserve">b)CURRENT LIABILITIES </t>
  </si>
  <si>
    <t xml:space="preserve">1) NON CURRENT ASSETS </t>
  </si>
  <si>
    <t>2)CURRENT ASSETS</t>
  </si>
  <si>
    <t>KARTIK AGRAWAL</t>
  </si>
  <si>
    <t>26SM22</t>
  </si>
  <si>
    <t>BALANCE SHEET FOR MAHINDRA AND MAHINDRA FOR FINANCIAL YEAR 2024 AND 2024 (ALL VALUES ARE IN CR)</t>
  </si>
  <si>
    <t>1. INCOME</t>
  </si>
  <si>
    <t>Revenue from operations</t>
  </si>
  <si>
    <t>Income from investments related to subsidiaries, associates and joint ventures</t>
  </si>
  <si>
    <t>Income from operations</t>
  </si>
  <si>
    <t>Other income</t>
  </si>
  <si>
    <t>TOTAL INCOME</t>
  </si>
  <si>
    <t>2. EXPENSES</t>
  </si>
  <si>
    <t>Cost of materials consumed</t>
  </si>
  <si>
    <t>Purchases of stock-in-trade</t>
  </si>
  <si>
    <t>Changes in inventories of finished goods, stock-in-trade and work-in-progress</t>
  </si>
  <si>
    <t>Employee benefits expense</t>
  </si>
  <si>
    <t>Finance costs</t>
  </si>
  <si>
    <t>Depreciation, amortisation and impairment expense</t>
  </si>
  <si>
    <t>Loss from investments related to subsidiaries, associates and joint ventures</t>
  </si>
  <si>
    <t>Other expenses</t>
  </si>
  <si>
    <t>TOTAL EXPENSES</t>
  </si>
  <si>
    <t>Profit/(loss) before share of profit/(loss) of associates, joint ventures and tax</t>
  </si>
  <si>
    <t>Share of profit of associates and joint ventures (net)</t>
  </si>
  <si>
    <t>PROFIT/(LOSS) BEFORE TAX</t>
  </si>
  <si>
    <t>3. TAX EXPENSE</t>
  </si>
  <si>
    <t>Current tax</t>
  </si>
  <si>
    <t>Deferred tax</t>
  </si>
  <si>
    <t>PROFIT/(LOSS) AFTER TAX</t>
  </si>
  <si>
    <t>4. OTHER COMPREHENSIVE INCOME/(LOSS)</t>
  </si>
  <si>
    <t>Items that will not be reclassified to profit or loss</t>
  </si>
  <si>
    <t>Income tax relating to items that will not be reclassified to profit or loss</t>
  </si>
  <si>
    <t>Items that will be reclassified to profit or loss</t>
  </si>
  <si>
    <t>Income tax relating to items that will be reclassified to profit or loss</t>
  </si>
  <si>
    <t>TOTAL COMPREHENSIVE INCOME/(LOSS)</t>
  </si>
  <si>
    <t>Profit/(loss) for the period attributable to owners of the company</t>
  </si>
  <si>
    <t>Profit/(loss) for the period attributable to non-controlling interest</t>
  </si>
  <si>
    <t>Other comprehensive income/(loss) for the period attributable to owners of the company</t>
  </si>
  <si>
    <t>Other comprehensive income/(loss) for the period attributable to non-controlling interest</t>
  </si>
  <si>
    <t>Total comprehensive income/(loss) attributable to owners of the company</t>
  </si>
  <si>
    <t>Total comprehensive income/(loss) attributable to non-controlling interest</t>
  </si>
  <si>
    <t>Basic earnings per share (Rs.)</t>
  </si>
  <si>
    <t>Diluted earnings per share (Rs.)</t>
  </si>
  <si>
    <t>Paid-up equity share capital (Face value Rs. 5 per share)</t>
  </si>
  <si>
    <t>PARTICULARS</t>
  </si>
  <si>
    <t>PROFIT AND LOSS STATEMENT FOR MAHINDRA AND MAHINDRA FOR 2025</t>
  </si>
  <si>
    <t>A. CASH FLOW FROM OPERATING ACTIVITIES</t>
  </si>
  <si>
    <t>Adjustments for:</t>
  </si>
  <si>
    <t>Loss/(Gain) on foreign exchange fluctuation and other adjustments (net)</t>
  </si>
  <si>
    <t>(Gain)/Loss on fair valuation of compulsorily convertible preference shares</t>
  </si>
  <si>
    <t>Dividend on investments and interest income (excluding financial services business)</t>
  </si>
  <si>
    <t>Finance costs (excluding financial services business)</t>
  </si>
  <si>
    <t>Equity-settled share-based payment expenses</t>
  </si>
  <si>
    <t>Gain on financial instruments measured at fair value (net)</t>
  </si>
  <si>
    <t>Gain on property, plant and equipment sold / scrapped / written off (net)</t>
  </si>
  <si>
    <t>Total adjustments</t>
  </si>
  <si>
    <t>Operating profit before working capital changes</t>
  </si>
  <si>
    <t>Changes in:</t>
  </si>
  <si>
    <t>Trade and other receivables</t>
  </si>
  <si>
    <t>Financial services receivable</t>
  </si>
  <si>
    <t>Trade and other payables and provisions</t>
  </si>
  <si>
    <t>Total changes in working capital</t>
  </si>
  <si>
    <t>Cash generated from/(used in) operations</t>
  </si>
  <si>
    <t>Income taxes paid (net)</t>
  </si>
  <si>
    <t>NET CASH FLOW FROM/(USED IN) OPERATING ACTIVITIES</t>
  </si>
  <si>
    <t>B. CASH FLOW FROM INVESTING ACTIVITIES</t>
  </si>
  <si>
    <t>Payments to acquire property, plant &amp; equipment and other intangible assets</t>
  </si>
  <si>
    <t>Proceeds from sale of property, plant &amp; equipment and other intangible assets</t>
  </si>
  <si>
    <t>Payments to acquire investments</t>
  </si>
  <si>
    <t>Proceeds from sale of investments</t>
  </si>
  <si>
    <t>Interest received (excluding financial services business)</t>
  </si>
  <si>
    <t>Dividends received from joint ventures and associates</t>
  </si>
  <si>
    <t>Dividends received from others</t>
  </si>
  <si>
    <t>Proceeds from capital reduction/buy back of shares by joint venture</t>
  </si>
  <si>
    <t>Bank deposits placed</t>
  </si>
  <si>
    <t>Bank deposits matured</t>
  </si>
  <si>
    <t>Changes in earmarked and margin account with banks (net)</t>
  </si>
  <si>
    <t>Inter corporate deposits placed</t>
  </si>
  <si>
    <t>Inter corporate deposits refunded</t>
  </si>
  <si>
    <t>Purchase of investment in joint ventures and associates</t>
  </si>
  <si>
    <t>Purchase consideration paid for acquisition of subsidiaries net of cash acquired</t>
  </si>
  <si>
    <t>Consideration received on disposal of subsidiaries</t>
  </si>
  <si>
    <t>Consideration received on disposal (including partial sale of investment) of associates and joint ventures</t>
  </si>
  <si>
    <t>NET CASH FLOW USED IN INVESTING ACTIVITIES</t>
  </si>
  <si>
    <t>C. CASH FLOW FROM FINANCING ACTIVITIES</t>
  </si>
  <si>
    <t>Proceeds from issue of shares to employees by ESOP Trust</t>
  </si>
  <si>
    <t>Proceeds from borrowings</t>
  </si>
  <si>
    <t>Repayments of borrowings</t>
  </si>
  <si>
    <t>Net change in loans repayable on demand and cash credit</t>
  </si>
  <si>
    <t>Proceeds from issue of compulsorily convertible preference shares</t>
  </si>
  <si>
    <t>Repayment of lease liabilities (including interest)</t>
  </si>
  <si>
    <t>Dividends paid (including payment of unclaimed dividends)</t>
  </si>
  <si>
    <t>Dividend paid to non-controlling interests</t>
  </si>
  <si>
    <t>Transactions with non-controlling interests</t>
  </si>
  <si>
    <t>Interest, commitment and finance charges paid (excluding financial services business)</t>
  </si>
  <si>
    <t>NET CASH FLOW FROM FINANCING ACTIVITIES</t>
  </si>
  <si>
    <t>NET INCREASE IN CASH AND CASH EQUIVALENTS</t>
  </si>
  <si>
    <t>Cash and cash equivalents at the beginning of the year</t>
  </si>
  <si>
    <t>Cash and cash equivalents related to disposal of subsidiaries</t>
  </si>
  <si>
    <t>Unrealised gain/(loss) on foreign currency cash and cash equivalents (net)</t>
  </si>
  <si>
    <t>Cash and cash equivalents at the end of the year</t>
  </si>
  <si>
    <t xml:space="preserve">CASH FLOW OF MAHINDRA AND MAHINDRA FOR 2025 </t>
  </si>
  <si>
    <t>Ratio</t>
  </si>
  <si>
    <t>Formula</t>
  </si>
  <si>
    <t>Current Ratio</t>
  </si>
  <si>
    <t>Current Assets / Current Liabilities</t>
  </si>
  <si>
    <t>Quick Ratio</t>
  </si>
  <si>
    <t>(CA − Inventories) / CL</t>
  </si>
  <si>
    <t>Debt-to-Equity</t>
  </si>
  <si>
    <t>Total Debt / Shareholders’ Equity</t>
  </si>
  <si>
    <t>Interest Coverage</t>
  </si>
  <si>
    <t>EBIT / Interest Expense</t>
  </si>
  <si>
    <t>Inventory Turnover</t>
  </si>
  <si>
    <t>COGS / Avg Inventory</t>
  </si>
  <si>
    <t>Debtors Turnover</t>
  </si>
  <si>
    <t>Revenue / Trade Receivables</t>
  </si>
  <si>
    <t>Total Asset Turnover</t>
  </si>
  <si>
    <t>Revenue / Total Assets</t>
  </si>
  <si>
    <t>Gross Profit Margin</t>
  </si>
  <si>
    <t>(Revenue − COGS) / Revenue</t>
  </si>
  <si>
    <t>Net Profit Margin</t>
  </si>
  <si>
    <t>PAT / Revenue</t>
  </si>
  <si>
    <t>Return on Assets (ROA)</t>
  </si>
  <si>
    <t>PAT / Total Assets</t>
  </si>
  <si>
    <t>Return on Equity (ROE)</t>
  </si>
  <si>
    <t>PAT / Equity</t>
  </si>
  <si>
    <t>FY2025</t>
  </si>
  <si>
    <t>FY2024</t>
  </si>
  <si>
    <t xml:space="preserve">INTERPRETATION </t>
  </si>
  <si>
    <t>the increase in quick ratio shows that company is in better position to pay its short term liabilities .</t>
  </si>
  <si>
    <t>increase in curreent ratio shows that the ability to meet its short term ability tto meet short term obligation has improved .</t>
  </si>
  <si>
    <t xml:space="preserve">the slight increase in debt to equity ratio shows that company is taking little more debt as compared to shareholder's fund </t>
  </si>
  <si>
    <t xml:space="preserve">The interest coverage decline shows that Company's ability to cover its interest expense from operating  earnings has weakened slightly . </t>
  </si>
  <si>
    <t>Improvement in inventory turnover suggests that Company's selling and replacing its inventory slightly faster .</t>
  </si>
  <si>
    <t xml:space="preserve">The increase in debt turnover indicates that company is collecting money from its customers more efficiently than in previous year . </t>
  </si>
  <si>
    <t xml:space="preserve">Decrease in total asset turnover shows that company generated slightly less revenue for every rupee invested . </t>
  </si>
  <si>
    <t xml:space="preserve">Cross profit margin remained unchanged . At 40 % shows Company maintained similar profitability . </t>
  </si>
  <si>
    <t xml:space="preserve">Net profit margin remained 9% which indicates company was able to maintain its overall profitability and earning around 9 rupees per 100 rupees of revenue . </t>
  </si>
  <si>
    <t xml:space="preserve">ROA remained stable at 5 % which means company continued generating roughly the same level of profit from its assets . </t>
  </si>
  <si>
    <t xml:space="preserve">ROE remained unchanged at 16 % . This shows Company continued to generate similar return for its shareholder . </t>
  </si>
  <si>
    <t>26SM23</t>
  </si>
  <si>
    <t xml:space="preserve">INDIAN INSTITUTE OF FOREST MANAGEMENT </t>
  </si>
  <si>
    <t xml:space="preserve">ASSINGNMENT SUBMITTED BY  </t>
  </si>
  <si>
    <r>
      <rPr>
        <b/>
        <sz val="11"/>
        <color theme="1"/>
        <rFont val="Aptos Narrow"/>
        <family val="2"/>
        <scheme val="minor"/>
      </rPr>
      <t>SUMBITTED TO</t>
    </r>
    <r>
      <rPr>
        <sz val="11"/>
        <color theme="1"/>
        <rFont val="Aptos Narrow"/>
        <family val="2"/>
        <scheme val="minor"/>
      </rPr>
      <t xml:space="preserve"> </t>
    </r>
  </si>
  <si>
    <r>
      <rPr>
        <b/>
        <sz val="11"/>
        <color theme="1"/>
        <rFont val="Aptos Narrow"/>
        <family val="2"/>
        <scheme val="minor"/>
      </rPr>
      <t>FAR ASSIGNMENT</t>
    </r>
    <r>
      <rPr>
        <sz val="11"/>
        <color theme="1"/>
        <rFont val="Aptos Narrow"/>
        <family val="2"/>
        <scheme val="minor"/>
      </rPr>
      <t xml:space="preserve"> </t>
    </r>
  </si>
  <si>
    <t>OMKAR RAMSWARUP MADAVI</t>
  </si>
  <si>
    <t xml:space="preserve">PROF. ASHUTOSH VERMA </t>
  </si>
  <si>
    <t>Ratio analysis of Mahindra and Mahindra</t>
  </si>
  <si>
    <t xml:space="preserve">RATIO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</si>
</sst>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x14ac:knownFonts="1">
    <font>
      <sz val="11"/>
      <color theme="1"/>
      <name val="Aptos Narrow"/>
      <family val="2"/>
      <scheme val="minor"/>
    </font>
    <font>
      <b/>
      <sz val="11"/>
      <color theme="1"/>
      <name val="Aptos Narrow"/>
      <family val="2"/>
      <scheme val="minor"/>
    </font>
    <font>
      <sz val="11"/>
      <color theme="1"/>
      <name val="Calibri"/>
      <family val="2"/>
      <charset val="1"/>
    </font>
    <font>
      <b/>
      <sz val="11"/>
      <name val="Cambria"/>
      <family val="1"/>
    </font>
    <font>
      <b/>
      <sz val="11"/>
      <name val="Cambria"/>
      <family val="1"/>
    </font>
    <font>
      <b/>
      <sz val="16"/>
      <color theme="1"/>
      <name val="Aptos Narrow"/>
      <family val="2"/>
      <scheme val="minor"/>
    </font>
    <font>
      <sz val="16"/>
      <color theme="1"/>
      <name val="Aptos Narrow"/>
      <family val="2"/>
      <scheme val="minor"/>
    </font>
    <font>
      <b/>
      <sz val="22"/>
      <color theme="1"/>
      <name val="Aptos Narrow"/>
      <family val="2"/>
      <scheme val="minor"/>
    </font>
    <font>
      <sz val="11"/>
      <color theme="1"/>
      <name val="Aptos Narrow"/>
      <family val="2"/>
      <scheme val="minor"/>
    </font>
    <font>
      <b/>
      <sz val="22"/>
      <color theme="1"/>
      <name val="Aptos Narrow"/>
      <scheme val="minor"/>
    </font>
    <font>
      <sz val="22"/>
      <color theme="1"/>
      <name val="Aptos Narrow"/>
      <family val="2"/>
      <scheme val="minor"/>
    </font>
    <font>
      <sz val="16"/>
      <color rgb="FF444444"/>
      <name val="Arial"/>
      <family val="2"/>
    </font>
  </fonts>
  <fills count="6">
    <fill>
      <patternFill patternType="none"/>
    </fill>
    <fill>
      <patternFill patternType="gray125"/>
    </fill>
    <fill>
      <patternFill patternType="solid">
        <fgColor theme="0"/>
        <bgColor rgb="FFFFFFFF"/>
      </patternFill>
    </fill>
    <fill>
      <patternFill patternType="solid">
        <fgColor theme="0"/>
        <bgColor rgb="FFEEF4F8"/>
      </patternFill>
    </fill>
    <fill>
      <patternFill patternType="solid">
        <fgColor theme="0"/>
        <bgColor indexed="64"/>
      </patternFill>
    </fill>
    <fill>
      <patternFill patternType="solid">
        <fgColor rgb="FFFFFFFF"/>
        <bgColor rgb="FFEBF3FB"/>
      </patternFill>
    </fill>
  </fills>
  <borders count="3">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9" fontId="8" fillId="0" borderId="0" applyFont="0" applyFill="0" applyBorder="0" applyAlignment="0" applyProtection="0"/>
  </cellStyleXfs>
  <cellXfs count="41">
    <xf numFmtId="0" fontId="0" fillId="0" borderId="0" xfId="0"/>
    <xf numFmtId="0" fontId="2" fillId="0" borderId="2" xfId="1" applyBorder="1" applyAlignment="1">
      <alignment vertical="top" wrapText="1"/>
    </xf>
    <xf numFmtId="0" fontId="0" fillId="0" borderId="2" xfId="0" applyBorder="1"/>
    <xf numFmtId="164" fontId="2" fillId="0" borderId="2" xfId="1" applyNumberFormat="1" applyBorder="1" applyAlignment="1">
      <alignment horizontal="right"/>
    </xf>
    <xf numFmtId="0" fontId="3" fillId="0" borderId="2" xfId="1" applyFont="1" applyBorder="1" applyAlignment="1">
      <alignment vertical="top" wrapText="1"/>
    </xf>
    <xf numFmtId="164" fontId="3" fillId="0" borderId="2" xfId="1" applyNumberFormat="1" applyFont="1" applyBorder="1" applyAlignment="1">
      <alignment horizontal="right"/>
    </xf>
    <xf numFmtId="0" fontId="0" fillId="0" borderId="0" xfId="0" applyAlignment="1">
      <alignment wrapText="1"/>
    </xf>
    <xf numFmtId="0" fontId="1" fillId="0" borderId="2" xfId="0" applyFont="1" applyBorder="1" applyAlignment="1">
      <alignment wrapText="1"/>
    </xf>
    <xf numFmtId="0" fontId="1" fillId="0" borderId="0" xfId="0" applyFont="1"/>
    <xf numFmtId="0" fontId="3" fillId="0" borderId="2" xfId="1" applyFont="1" applyBorder="1" applyAlignment="1">
      <alignment vertical="top"/>
    </xf>
    <xf numFmtId="0" fontId="1" fillId="0" borderId="2" xfId="0" applyFont="1" applyBorder="1"/>
    <xf numFmtId="0" fontId="2" fillId="0" borderId="2" xfId="1" applyBorder="1" applyAlignment="1">
      <alignment vertical="top"/>
    </xf>
    <xf numFmtId="164" fontId="2" fillId="0" borderId="2" xfId="1" applyNumberFormat="1" applyBorder="1" applyAlignment="1">
      <alignment horizontal="right" wrapText="1"/>
    </xf>
    <xf numFmtId="164" fontId="3" fillId="0" borderId="2" xfId="1" applyNumberFormat="1" applyFont="1" applyBorder="1" applyAlignment="1">
      <alignment horizontal="right" wrapText="1"/>
    </xf>
    <xf numFmtId="0" fontId="0" fillId="0" borderId="2" xfId="0" applyBorder="1" applyAlignment="1">
      <alignment wrapText="1"/>
    </xf>
    <xf numFmtId="164" fontId="3" fillId="0" borderId="1" xfId="1" applyNumberFormat="1" applyFont="1" applyBorder="1" applyAlignment="1">
      <alignment horizontal="right" wrapText="1"/>
    </xf>
    <xf numFmtId="17" fontId="0" fillId="0" borderId="2" xfId="0" applyNumberFormat="1" applyBorder="1"/>
    <xf numFmtId="0" fontId="3" fillId="2" borderId="0" xfId="1" applyFont="1" applyFill="1" applyAlignment="1">
      <alignment vertical="top"/>
    </xf>
    <xf numFmtId="0" fontId="3" fillId="3" borderId="2" xfId="1" applyFont="1" applyFill="1" applyBorder="1" applyAlignment="1">
      <alignment horizontal="center" vertical="center"/>
    </xf>
    <xf numFmtId="0" fontId="3" fillId="2" borderId="2" xfId="1" applyFont="1" applyFill="1" applyBorder="1" applyAlignment="1">
      <alignment vertical="top" wrapText="1"/>
    </xf>
    <xf numFmtId="0" fontId="3" fillId="2" borderId="2" xfId="1" applyFont="1" applyFill="1" applyBorder="1" applyAlignment="1">
      <alignment horizontal="right"/>
    </xf>
    <xf numFmtId="0" fontId="4" fillId="0" borderId="2" xfId="1" applyFont="1" applyBorder="1" applyAlignment="1">
      <alignment vertical="top"/>
    </xf>
    <xf numFmtId="164" fontId="4" fillId="0" borderId="2" xfId="1" applyNumberFormat="1" applyFont="1" applyBorder="1" applyAlignment="1">
      <alignment horizontal="right"/>
    </xf>
    <xf numFmtId="0" fontId="4" fillId="3" borderId="2" xfId="1" applyFont="1" applyFill="1" applyBorder="1" applyAlignment="1">
      <alignment horizontal="center" vertical="center"/>
    </xf>
    <xf numFmtId="0" fontId="4" fillId="2" borderId="2" xfId="1" applyFont="1" applyFill="1" applyBorder="1" applyAlignment="1">
      <alignment vertical="top" wrapText="1"/>
    </xf>
    <xf numFmtId="0" fontId="4" fillId="2" borderId="2" xfId="1" applyFont="1" applyFill="1" applyBorder="1" applyAlignment="1">
      <alignment vertical="top"/>
    </xf>
    <xf numFmtId="0" fontId="4" fillId="2" borderId="2" xfId="1" applyFont="1" applyFill="1" applyBorder="1" applyAlignment="1">
      <alignment horizontal="right"/>
    </xf>
    <xf numFmtId="0" fontId="3" fillId="2" borderId="2" xfId="1" applyFont="1" applyFill="1" applyBorder="1" applyAlignment="1">
      <alignment horizontal="right" wrapText="1"/>
    </xf>
    <xf numFmtId="0" fontId="7" fillId="4" borderId="2" xfId="0" applyFont="1" applyFill="1" applyBorder="1" applyAlignment="1">
      <alignment horizontal="center" vertical="center"/>
    </xf>
    <xf numFmtId="0" fontId="5"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2" xfId="0" applyFont="1" applyFill="1" applyBorder="1" applyAlignment="1">
      <alignment horizontal="center"/>
    </xf>
    <xf numFmtId="0" fontId="6" fillId="0" borderId="0" xfId="0" applyFont="1"/>
    <xf numFmtId="0" fontId="9" fillId="0" borderId="2" xfId="0" applyFont="1" applyBorder="1"/>
    <xf numFmtId="0" fontId="6" fillId="0" borderId="2" xfId="0" applyFont="1" applyBorder="1"/>
    <xf numFmtId="9" fontId="6" fillId="0" borderId="2" xfId="2" applyFont="1" applyBorder="1"/>
    <xf numFmtId="0" fontId="7" fillId="0" borderId="2" xfId="0" applyFont="1" applyBorder="1"/>
    <xf numFmtId="0" fontId="6" fillId="0" borderId="2" xfId="0" applyFont="1" applyBorder="1" applyAlignment="1">
      <alignment wrapText="1"/>
    </xf>
    <xf numFmtId="0" fontId="11" fillId="5" borderId="2" xfId="1" applyFont="1" applyFill="1" applyBorder="1" applyAlignment="1">
      <alignment horizontal="left" vertical="center" wrapText="1"/>
    </xf>
    <xf numFmtId="17" fontId="0" fillId="0" borderId="2" xfId="0" applyNumberFormat="1" applyBorder="1" applyAlignment="1">
      <alignment wrapText="1"/>
    </xf>
    <xf numFmtId="0" fontId="10" fillId="0" borderId="0" xfId="0" applyFont="1"/>
  </cellXfs>
  <cellStyles count="3">
    <cellStyle name="Normal" xfId="0" builtinId="0"/>
    <cellStyle name="Normal 2" xfId="1" xr:uid="{1A2B0126-C3F1-497D-80D0-6360A972DF9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2504722</xdr:colOff>
      <xdr:row>17</xdr:row>
      <xdr:rowOff>141111</xdr:rowOff>
    </xdr:from>
    <xdr:to>
      <xdr:col>6</xdr:col>
      <xdr:colOff>8449026</xdr:colOff>
      <xdr:row>27</xdr:row>
      <xdr:rowOff>97013</xdr:rowOff>
    </xdr:to>
    <xdr:sp macro="" textlink="">
      <xdr:nvSpPr>
        <xdr:cNvPr id="5122" name="Text Box 2">
          <a:extLst>
            <a:ext uri="{FF2B5EF4-FFF2-40B4-BE49-F238E27FC236}">
              <a16:creationId xmlns:a16="http://schemas.microsoft.com/office/drawing/2014/main" id="{23D63E30-A0E5-3128-CF9C-9D27B6F015E6}"/>
            </a:ext>
          </a:extLst>
        </xdr:cNvPr>
        <xdr:cNvSpPr txBox="1">
          <a:spLocks noChangeArrowheads="1"/>
        </xdr:cNvSpPr>
      </xdr:nvSpPr>
      <xdr:spPr bwMode="auto">
        <a:xfrm>
          <a:off x="5926666" y="5088819"/>
          <a:ext cx="11465277" cy="1887361"/>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600" b="1" i="0" u="none" strike="noStrike" baseline="0">
              <a:solidFill>
                <a:srgbClr val="000000"/>
              </a:solidFill>
              <a:latin typeface="Aptos Narrow"/>
            </a:rPr>
            <a:t>Conclusion - </a:t>
          </a:r>
        </a:p>
        <a:p>
          <a:pPr algn="l" rtl="0">
            <a:defRPr sz="1000"/>
          </a:pPr>
          <a:r>
            <a:rPr lang="en-IN" sz="1600" b="1" i="0" u="none" strike="noStrike" baseline="0">
              <a:solidFill>
                <a:srgbClr val="000000"/>
              </a:solidFill>
              <a:latin typeface="Aptos Narrow"/>
            </a:rPr>
            <a:t>Overall, the Company's financial position exhibited mixed performance in FY2025, and a somewhat stable trend. The liquidity of its improved balance sheet ratio as reflected by the increase in the current ratio and quick ratio. Furthermore, a bit more efficiency was achieved in inventory and indebtedness management. The modest decrease in interest coverage and total asset turnover, however, suggests that some improvements should be made. Profitability was not affected with almost no changes in gross profit margin, net profit margin, ROA and ROE. The debt to equity ratio also slightly increased which represents a slight rise in dependence on debt. In general, company's profitabilities was kept and some improvement in the short-term liquidity and working-capital efficiency.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1C14-3245-45BF-81AF-ED26E8589BEA}">
  <dimension ref="B2:C10"/>
  <sheetViews>
    <sheetView workbookViewId="0">
      <selection activeCell="D6" sqref="D6"/>
    </sheetView>
  </sheetViews>
  <sheetFormatPr defaultColWidth="8.81640625" defaultRowHeight="14.5" x14ac:dyDescent="0.35"/>
  <cols>
    <col min="2" max="2" width="37.08984375" customWidth="1"/>
  </cols>
  <sheetData>
    <row r="2" spans="2:3" x14ac:dyDescent="0.35">
      <c r="B2" s="8" t="s">
        <v>188</v>
      </c>
    </row>
    <row r="3" spans="2:3" x14ac:dyDescent="0.35">
      <c r="B3" t="s">
        <v>191</v>
      </c>
    </row>
    <row r="4" spans="2:3" x14ac:dyDescent="0.35">
      <c r="B4" s="8" t="s">
        <v>194</v>
      </c>
    </row>
    <row r="5" spans="2:3" x14ac:dyDescent="0.35">
      <c r="B5" s="8" t="s">
        <v>189</v>
      </c>
    </row>
    <row r="6" spans="2:3" x14ac:dyDescent="0.35">
      <c r="B6" t="s">
        <v>50</v>
      </c>
      <c r="C6" t="s">
        <v>51</v>
      </c>
    </row>
    <row r="7" spans="2:3" x14ac:dyDescent="0.35">
      <c r="B7" t="s">
        <v>192</v>
      </c>
      <c r="C7" t="s">
        <v>187</v>
      </c>
    </row>
    <row r="9" spans="2:3" x14ac:dyDescent="0.35">
      <c r="B9" t="s">
        <v>190</v>
      </c>
    </row>
    <row r="10" spans="2:3" x14ac:dyDescent="0.35">
      <c r="B10" t="s">
        <v>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20568-6E1B-4CF9-AAA8-80E4C2E59ED0}">
  <dimension ref="C2:I63"/>
  <sheetViews>
    <sheetView tabSelected="1" topLeftCell="A45" workbookViewId="0">
      <selection activeCell="G7" sqref="G7"/>
    </sheetView>
  </sheetViews>
  <sheetFormatPr defaultColWidth="8.81640625" defaultRowHeight="14.5" x14ac:dyDescent="0.35"/>
  <cols>
    <col min="3" max="3" width="67.36328125" style="6" customWidth="1"/>
    <col min="4" max="5" width="11.81640625" bestFit="1" customWidth="1"/>
  </cols>
  <sheetData>
    <row r="2" spans="3:9" x14ac:dyDescent="0.35">
      <c r="C2" t="s">
        <v>52</v>
      </c>
    </row>
    <row r="3" spans="3:9" x14ac:dyDescent="0.35">
      <c r="C3"/>
    </row>
    <row r="4" spans="3:9" x14ac:dyDescent="0.35">
      <c r="C4" s="10" t="s">
        <v>45</v>
      </c>
      <c r="D4" s="39">
        <v>45717</v>
      </c>
      <c r="E4" s="39">
        <v>45352</v>
      </c>
    </row>
    <row r="5" spans="3:9" x14ac:dyDescent="0.35">
      <c r="C5" s="10" t="s">
        <v>39</v>
      </c>
      <c r="D5" s="7"/>
      <c r="E5" s="7"/>
    </row>
    <row r="6" spans="3:9" x14ac:dyDescent="0.35">
      <c r="C6" s="17" t="s">
        <v>40</v>
      </c>
      <c r="D6" s="7"/>
      <c r="E6" s="7"/>
    </row>
    <row r="7" spans="3:9" x14ac:dyDescent="0.35">
      <c r="C7" s="11" t="s">
        <v>0</v>
      </c>
      <c r="D7" s="12">
        <v>558.15</v>
      </c>
      <c r="E7" s="12">
        <v>557.38</v>
      </c>
    </row>
    <row r="8" spans="3:9" x14ac:dyDescent="0.35">
      <c r="C8" s="11" t="s">
        <v>1</v>
      </c>
      <c r="D8" s="12">
        <v>76480.710000000006</v>
      </c>
      <c r="E8" s="12">
        <v>65633.17</v>
      </c>
    </row>
    <row r="9" spans="3:9" x14ac:dyDescent="0.35">
      <c r="C9" s="11" t="s">
        <v>2</v>
      </c>
      <c r="D9" s="12">
        <v>77038.86</v>
      </c>
      <c r="E9" s="12">
        <v>66190.55</v>
      </c>
    </row>
    <row r="10" spans="3:9" x14ac:dyDescent="0.35">
      <c r="C10" s="11" t="s">
        <v>3</v>
      </c>
      <c r="D10" s="12">
        <v>12059.14</v>
      </c>
      <c r="E10" s="12">
        <v>11318.79</v>
      </c>
    </row>
    <row r="11" spans="3:9" x14ac:dyDescent="0.35">
      <c r="C11" s="9" t="s">
        <v>4</v>
      </c>
      <c r="D11" s="13">
        <v>89098</v>
      </c>
      <c r="E11" s="13">
        <v>77509.34</v>
      </c>
    </row>
    <row r="12" spans="3:9" x14ac:dyDescent="0.35">
      <c r="C12" s="9" t="s">
        <v>41</v>
      </c>
      <c r="D12" s="13"/>
      <c r="E12" s="13"/>
      <c r="I12" s="6"/>
    </row>
    <row r="13" spans="3:9" x14ac:dyDescent="0.35">
      <c r="C13" s="17" t="s">
        <v>46</v>
      </c>
      <c r="D13" s="14"/>
      <c r="E13" s="14"/>
    </row>
    <row r="14" spans="3:9" x14ac:dyDescent="0.35">
      <c r="C14" s="11" t="s">
        <v>5</v>
      </c>
      <c r="D14" s="12">
        <v>79707.19</v>
      </c>
      <c r="E14" s="12">
        <v>67719.69</v>
      </c>
    </row>
    <row r="15" spans="3:9" x14ac:dyDescent="0.35">
      <c r="C15" s="11" t="s">
        <v>6</v>
      </c>
      <c r="D15" s="12">
        <v>4075.27</v>
      </c>
      <c r="E15" s="12">
        <v>2021.73</v>
      </c>
    </row>
    <row r="16" spans="3:9" x14ac:dyDescent="0.35">
      <c r="C16" s="11" t="s">
        <v>7</v>
      </c>
      <c r="D16" s="12">
        <v>3170.14</v>
      </c>
      <c r="E16" s="12">
        <v>2813.92</v>
      </c>
    </row>
    <row r="17" spans="3:5" x14ac:dyDescent="0.35">
      <c r="C17" s="11" t="s">
        <v>8</v>
      </c>
      <c r="D17" s="12">
        <v>1127.76</v>
      </c>
      <c r="E17" s="12">
        <v>1208.5</v>
      </c>
    </row>
    <row r="18" spans="3:5" x14ac:dyDescent="0.35">
      <c r="C18" s="11" t="s">
        <v>9</v>
      </c>
      <c r="D18" s="12">
        <v>1982.02</v>
      </c>
      <c r="E18" s="12">
        <v>1763.28</v>
      </c>
    </row>
    <row r="19" spans="3:5" x14ac:dyDescent="0.35">
      <c r="C19" s="11" t="s">
        <v>10</v>
      </c>
      <c r="D19" s="12">
        <v>1912.07</v>
      </c>
      <c r="E19" s="12">
        <v>1772.13</v>
      </c>
    </row>
    <row r="20" spans="3:5" x14ac:dyDescent="0.35">
      <c r="C20" s="11" t="s">
        <v>11</v>
      </c>
      <c r="D20" s="12">
        <v>6191.81</v>
      </c>
      <c r="E20" s="12">
        <v>5946.49</v>
      </c>
    </row>
    <row r="21" spans="3:5" x14ac:dyDescent="0.35">
      <c r="C21" s="9" t="s">
        <v>12</v>
      </c>
      <c r="D21" s="13">
        <v>98166.26</v>
      </c>
      <c r="E21" s="13">
        <v>83245.740000000005</v>
      </c>
    </row>
    <row r="22" spans="3:5" x14ac:dyDescent="0.35">
      <c r="C22" s="10" t="s">
        <v>47</v>
      </c>
      <c r="D22" s="14"/>
      <c r="E22" s="14"/>
    </row>
    <row r="23" spans="3:5" x14ac:dyDescent="0.35">
      <c r="C23" s="11" t="s">
        <v>5</v>
      </c>
      <c r="D23" s="12">
        <v>41465.760000000002</v>
      </c>
      <c r="E23" s="12">
        <v>35483.54</v>
      </c>
    </row>
    <row r="24" spans="3:5" x14ac:dyDescent="0.35">
      <c r="C24" s="11" t="s">
        <v>7</v>
      </c>
      <c r="D24" s="12">
        <v>606.22</v>
      </c>
      <c r="E24" s="12">
        <v>608.37</v>
      </c>
    </row>
    <row r="25" spans="3:5" x14ac:dyDescent="0.35">
      <c r="C25" s="11" t="s">
        <v>13</v>
      </c>
      <c r="D25" s="12">
        <v>926.72</v>
      </c>
      <c r="E25" s="12">
        <v>459.7</v>
      </c>
    </row>
    <row r="26" spans="3:5" x14ac:dyDescent="0.35">
      <c r="C26" s="11" t="s">
        <v>14</v>
      </c>
      <c r="D26" s="12">
        <v>29928.58</v>
      </c>
      <c r="E26" s="12">
        <v>25205.94</v>
      </c>
    </row>
    <row r="27" spans="3:5" x14ac:dyDescent="0.35">
      <c r="C27" s="11" t="s">
        <v>8</v>
      </c>
      <c r="D27" s="12">
        <v>5542.63</v>
      </c>
      <c r="E27" s="12">
        <v>4480.96</v>
      </c>
    </row>
    <row r="28" spans="3:5" x14ac:dyDescent="0.35">
      <c r="C28" s="11" t="s">
        <v>15</v>
      </c>
      <c r="D28" s="12">
        <v>9818.6200000000008</v>
      </c>
      <c r="E28" s="12">
        <v>7641.62</v>
      </c>
    </row>
    <row r="29" spans="3:5" x14ac:dyDescent="0.35">
      <c r="C29" s="11" t="s">
        <v>9</v>
      </c>
      <c r="D29" s="12">
        <v>1313.8</v>
      </c>
      <c r="E29" s="12">
        <v>1123</v>
      </c>
    </row>
    <row r="30" spans="3:5" x14ac:dyDescent="0.35">
      <c r="C30" s="11" t="s">
        <v>16</v>
      </c>
      <c r="D30" s="12">
        <v>719.68</v>
      </c>
      <c r="E30" s="12">
        <v>542.52</v>
      </c>
    </row>
    <row r="31" spans="3:5" x14ac:dyDescent="0.35">
      <c r="C31" s="9" t="s">
        <v>17</v>
      </c>
      <c r="D31" s="13">
        <v>90322.01</v>
      </c>
      <c r="E31" s="13">
        <v>75545.649999999994</v>
      </c>
    </row>
    <row r="32" spans="3:5" x14ac:dyDescent="0.35">
      <c r="C32" s="9" t="s">
        <v>43</v>
      </c>
      <c r="D32" s="13">
        <v>277586.27</v>
      </c>
      <c r="E32" s="13">
        <v>236300.73</v>
      </c>
    </row>
    <row r="33" spans="3:5" x14ac:dyDescent="0.35">
      <c r="C33" s="9"/>
      <c r="D33" s="13"/>
      <c r="E33" s="13"/>
    </row>
    <row r="34" spans="3:5" x14ac:dyDescent="0.35">
      <c r="C34" s="10" t="s">
        <v>42</v>
      </c>
      <c r="D34" s="14"/>
      <c r="E34" s="14"/>
    </row>
    <row r="35" spans="3:5" x14ac:dyDescent="0.35">
      <c r="C35" s="10" t="s">
        <v>48</v>
      </c>
      <c r="D35" s="14"/>
      <c r="E35" s="14"/>
    </row>
    <row r="36" spans="3:5" x14ac:dyDescent="0.35">
      <c r="C36" s="11" t="s">
        <v>18</v>
      </c>
      <c r="D36" s="12">
        <v>25834.82</v>
      </c>
      <c r="E36" s="12">
        <v>21408.6</v>
      </c>
    </row>
    <row r="37" spans="3:5" x14ac:dyDescent="0.35">
      <c r="C37" s="11" t="s">
        <v>19</v>
      </c>
      <c r="D37" s="12">
        <v>3652.56</v>
      </c>
      <c r="E37" s="12">
        <v>3461.33</v>
      </c>
    </row>
    <row r="38" spans="3:5" x14ac:dyDescent="0.35">
      <c r="C38" s="11" t="s">
        <v>20</v>
      </c>
      <c r="D38" s="12">
        <v>2373.9</v>
      </c>
      <c r="E38" s="12">
        <v>2448.37</v>
      </c>
    </row>
    <row r="39" spans="3:5" x14ac:dyDescent="0.35">
      <c r="C39" s="11" t="s">
        <v>21</v>
      </c>
      <c r="D39" s="12">
        <v>6427.64</v>
      </c>
      <c r="E39" s="12">
        <v>4272.4399999999996</v>
      </c>
    </row>
    <row r="40" spans="3:5" x14ac:dyDescent="0.35">
      <c r="C40" s="11" t="s">
        <v>22</v>
      </c>
      <c r="D40" s="12">
        <v>4645.08</v>
      </c>
      <c r="E40" s="12">
        <v>4577.97</v>
      </c>
    </row>
    <row r="41" spans="3:5" x14ac:dyDescent="0.35">
      <c r="C41" s="11" t="s">
        <v>23</v>
      </c>
      <c r="D41" s="12">
        <v>14176.68</v>
      </c>
      <c r="E41" s="12">
        <v>13800.71</v>
      </c>
    </row>
    <row r="42" spans="3:5" x14ac:dyDescent="0.35">
      <c r="C42" s="11" t="s">
        <v>24</v>
      </c>
      <c r="D42" s="12">
        <v>5184.42</v>
      </c>
      <c r="E42" s="12">
        <v>7772.75</v>
      </c>
    </row>
    <row r="43" spans="3:5" x14ac:dyDescent="0.35">
      <c r="C43" s="11" t="s">
        <v>25</v>
      </c>
      <c r="D43" s="12">
        <v>256.54000000000002</v>
      </c>
      <c r="E43" s="12">
        <v>270.66000000000003</v>
      </c>
    </row>
    <row r="44" spans="3:5" x14ac:dyDescent="0.35">
      <c r="C44" s="11" t="s">
        <v>26</v>
      </c>
      <c r="D44" s="12">
        <v>79607.31</v>
      </c>
      <c r="E44" s="12">
        <v>67783.649999999994</v>
      </c>
    </row>
    <row r="45" spans="3:5" x14ac:dyDescent="0.35">
      <c r="C45" s="11" t="s">
        <v>27</v>
      </c>
      <c r="D45" s="12">
        <v>2282.79</v>
      </c>
      <c r="E45" s="12">
        <v>4297.97</v>
      </c>
    </row>
    <row r="46" spans="3:5" x14ac:dyDescent="0.35">
      <c r="C46" s="11" t="s">
        <v>28</v>
      </c>
      <c r="D46" s="12">
        <v>1573.11</v>
      </c>
      <c r="E46" s="12">
        <v>1578.99</v>
      </c>
    </row>
    <row r="47" spans="3:5" x14ac:dyDescent="0.35">
      <c r="C47" s="11" t="s">
        <v>29</v>
      </c>
      <c r="D47" s="12">
        <v>2270.77</v>
      </c>
      <c r="E47" s="12">
        <v>2129.91</v>
      </c>
    </row>
    <row r="48" spans="3:5" x14ac:dyDescent="0.35">
      <c r="C48" s="11" t="s">
        <v>30</v>
      </c>
      <c r="D48" s="12">
        <v>2727.38</v>
      </c>
      <c r="E48" s="12">
        <v>4231.74</v>
      </c>
    </row>
    <row r="49" spans="3:5" x14ac:dyDescent="0.35">
      <c r="C49" s="9" t="s">
        <v>31</v>
      </c>
      <c r="D49" s="13">
        <v>151013</v>
      </c>
      <c r="E49" s="13">
        <v>138035.09</v>
      </c>
    </row>
    <row r="50" spans="3:5" x14ac:dyDescent="0.35">
      <c r="C50" s="10" t="s">
        <v>49</v>
      </c>
      <c r="D50" s="27"/>
      <c r="E50" s="27"/>
    </row>
    <row r="51" spans="3:5" x14ac:dyDescent="0.35">
      <c r="C51" s="11" t="s">
        <v>32</v>
      </c>
      <c r="D51" s="12">
        <v>20330.93</v>
      </c>
      <c r="E51" s="12">
        <v>18590.47</v>
      </c>
    </row>
    <row r="52" spans="3:5" x14ac:dyDescent="0.35">
      <c r="C52" s="11" t="s">
        <v>24</v>
      </c>
      <c r="D52" s="12">
        <v>21947.47</v>
      </c>
      <c r="E52" s="12">
        <v>13634.64</v>
      </c>
    </row>
    <row r="53" spans="3:5" x14ac:dyDescent="0.35">
      <c r="C53" s="11" t="s">
        <v>25</v>
      </c>
      <c r="D53" s="12">
        <v>8279.7000000000007</v>
      </c>
      <c r="E53" s="12">
        <v>7459.4</v>
      </c>
    </row>
    <row r="54" spans="3:5" x14ac:dyDescent="0.35">
      <c r="C54" s="11" t="s">
        <v>33</v>
      </c>
      <c r="D54" s="12">
        <v>4923.8900000000003</v>
      </c>
      <c r="E54" s="12">
        <v>4530.1000000000004</v>
      </c>
    </row>
    <row r="55" spans="3:5" x14ac:dyDescent="0.35">
      <c r="C55" s="11" t="s">
        <v>34</v>
      </c>
      <c r="D55" s="12">
        <v>15690.95</v>
      </c>
      <c r="E55" s="12">
        <v>7482.65</v>
      </c>
    </row>
    <row r="56" spans="3:5" x14ac:dyDescent="0.35">
      <c r="C56" s="11" t="s">
        <v>26</v>
      </c>
      <c r="D56" s="12">
        <v>44644.77</v>
      </c>
      <c r="E56" s="12">
        <v>39060.129999999997</v>
      </c>
    </row>
    <row r="57" spans="3:5" x14ac:dyDescent="0.35">
      <c r="C57" s="11" t="s">
        <v>27</v>
      </c>
      <c r="D57" s="12">
        <v>3552.48</v>
      </c>
      <c r="E57" s="12">
        <v>2102.4299999999998</v>
      </c>
    </row>
    <row r="58" spans="3:5" x14ac:dyDescent="0.35">
      <c r="C58" s="11" t="s">
        <v>35</v>
      </c>
      <c r="D58" s="12">
        <v>7203.08</v>
      </c>
      <c r="E58" s="12">
        <v>5380.35</v>
      </c>
    </row>
    <row r="59" spans="3:5" x14ac:dyDescent="0.35">
      <c r="C59" s="11" t="s">
        <v>36</v>
      </c>
      <c r="D59" s="12">
        <v>0</v>
      </c>
      <c r="E59" s="12">
        <v>25.47</v>
      </c>
    </row>
    <row r="60" spans="3:5" x14ac:dyDescent="0.35">
      <c r="C60" s="9" t="s">
        <v>37</v>
      </c>
      <c r="D60" s="13">
        <v>126573.27</v>
      </c>
      <c r="E60" s="13">
        <v>98265.64</v>
      </c>
    </row>
    <row r="61" spans="3:5" x14ac:dyDescent="0.35">
      <c r="C61" s="9" t="s">
        <v>44</v>
      </c>
      <c r="D61" s="15">
        <v>277586.27</v>
      </c>
      <c r="E61" s="13">
        <v>236300.73</v>
      </c>
    </row>
    <row r="62" spans="3:5" x14ac:dyDescent="0.35">
      <c r="C62"/>
    </row>
    <row r="63" spans="3:5" x14ac:dyDescent="0.35">
      <c r="C6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705C-E8E4-494B-90FD-8AEC5015929C}">
  <dimension ref="C2:E43"/>
  <sheetViews>
    <sheetView topLeftCell="A30" zoomScale="111" workbookViewId="0">
      <selection activeCell="H28" sqref="H28"/>
    </sheetView>
  </sheetViews>
  <sheetFormatPr defaultColWidth="8.81640625" defaultRowHeight="14.5" x14ac:dyDescent="0.35"/>
  <cols>
    <col min="3" max="3" width="67.1796875" bestFit="1" customWidth="1"/>
    <col min="4" max="5" width="11.81640625" bestFit="1" customWidth="1"/>
  </cols>
  <sheetData>
    <row r="2" spans="3:5" x14ac:dyDescent="0.35">
      <c r="C2" t="s">
        <v>92</v>
      </c>
    </row>
    <row r="4" spans="3:5" x14ac:dyDescent="0.35">
      <c r="C4" s="18" t="s">
        <v>91</v>
      </c>
      <c r="D4" s="16">
        <v>45717</v>
      </c>
      <c r="E4" s="16">
        <v>45352</v>
      </c>
    </row>
    <row r="5" spans="3:5" x14ac:dyDescent="0.35">
      <c r="C5" s="19" t="s">
        <v>53</v>
      </c>
      <c r="D5" s="2"/>
      <c r="E5" s="2"/>
    </row>
    <row r="6" spans="3:5" x14ac:dyDescent="0.35">
      <c r="C6" s="1" t="s">
        <v>54</v>
      </c>
      <c r="D6" s="3">
        <v>158749.75</v>
      </c>
      <c r="E6" s="3">
        <v>138279.29999999999</v>
      </c>
    </row>
    <row r="7" spans="3:5" x14ac:dyDescent="0.35">
      <c r="C7" s="1" t="s">
        <v>55</v>
      </c>
      <c r="D7" s="3">
        <v>461.07</v>
      </c>
      <c r="E7" s="3">
        <v>798.97</v>
      </c>
    </row>
    <row r="8" spans="3:5" x14ac:dyDescent="0.35">
      <c r="C8" s="4" t="s">
        <v>56</v>
      </c>
      <c r="D8" s="5">
        <v>159210.82</v>
      </c>
      <c r="E8" s="5">
        <v>139078.26999999999</v>
      </c>
    </row>
    <row r="9" spans="3:5" x14ac:dyDescent="0.35">
      <c r="C9" s="1" t="s">
        <v>57</v>
      </c>
      <c r="D9" s="3">
        <v>2181.0500000000002</v>
      </c>
      <c r="E9" s="3">
        <v>2176.42</v>
      </c>
    </row>
    <row r="10" spans="3:5" x14ac:dyDescent="0.35">
      <c r="C10" s="9" t="s">
        <v>58</v>
      </c>
      <c r="D10" s="5">
        <v>161391.87</v>
      </c>
      <c r="E10" s="5">
        <v>141254.69</v>
      </c>
    </row>
    <row r="11" spans="3:5" x14ac:dyDescent="0.35">
      <c r="C11" s="19" t="s">
        <v>59</v>
      </c>
      <c r="D11" s="20"/>
      <c r="E11" s="20"/>
    </row>
    <row r="12" spans="3:5" x14ac:dyDescent="0.35">
      <c r="C12" s="1" t="s">
        <v>60</v>
      </c>
      <c r="D12" s="3">
        <v>88111.05</v>
      </c>
      <c r="E12" s="3">
        <v>77848.820000000007</v>
      </c>
    </row>
    <row r="13" spans="3:5" x14ac:dyDescent="0.35">
      <c r="C13" s="1" t="s">
        <v>61</v>
      </c>
      <c r="D13" s="3">
        <v>7643.85</v>
      </c>
      <c r="E13" s="3">
        <v>7221.25</v>
      </c>
    </row>
    <row r="14" spans="3:5" x14ac:dyDescent="0.35">
      <c r="C14" s="1" t="s">
        <v>62</v>
      </c>
      <c r="D14" s="3">
        <v>-12.18</v>
      </c>
      <c r="E14" s="3">
        <v>-1455.32</v>
      </c>
    </row>
    <row r="15" spans="3:5" x14ac:dyDescent="0.35">
      <c r="C15" s="1" t="s">
        <v>63</v>
      </c>
      <c r="D15" s="3">
        <v>11126.17</v>
      </c>
      <c r="E15" s="3">
        <v>10624.33</v>
      </c>
    </row>
    <row r="16" spans="3:5" x14ac:dyDescent="0.35">
      <c r="C16" s="1" t="s">
        <v>64</v>
      </c>
      <c r="D16" s="3">
        <v>9083.39</v>
      </c>
      <c r="E16" s="3">
        <v>7488.21</v>
      </c>
    </row>
    <row r="17" spans="3:5" x14ac:dyDescent="0.35">
      <c r="C17" s="1" t="s">
        <v>65</v>
      </c>
      <c r="D17" s="3">
        <v>6073.65</v>
      </c>
      <c r="E17" s="3">
        <v>4723.78</v>
      </c>
    </row>
    <row r="18" spans="3:5" x14ac:dyDescent="0.35">
      <c r="C18" s="1" t="s">
        <v>66</v>
      </c>
      <c r="D18" s="3">
        <v>30.84</v>
      </c>
      <c r="E18" s="3">
        <v>32.92</v>
      </c>
    </row>
    <row r="19" spans="3:5" x14ac:dyDescent="0.35">
      <c r="C19" s="1" t="s">
        <v>67</v>
      </c>
      <c r="D19" s="3">
        <v>21792.9</v>
      </c>
      <c r="E19" s="3">
        <v>19914.34</v>
      </c>
    </row>
    <row r="20" spans="3:5" x14ac:dyDescent="0.35">
      <c r="C20" s="4" t="s">
        <v>68</v>
      </c>
      <c r="D20" s="5">
        <v>143849.67000000001</v>
      </c>
      <c r="E20" s="5">
        <v>126398.33</v>
      </c>
    </row>
    <row r="21" spans="3:5" ht="28" x14ac:dyDescent="0.35">
      <c r="C21" s="4" t="s">
        <v>69</v>
      </c>
      <c r="D21" s="5">
        <v>17542.2</v>
      </c>
      <c r="E21" s="5">
        <v>14856.36</v>
      </c>
    </row>
    <row r="22" spans="3:5" x14ac:dyDescent="0.35">
      <c r="C22" s="1" t="s">
        <v>70</v>
      </c>
      <c r="D22" s="3">
        <v>1537.42</v>
      </c>
      <c r="E22" s="3">
        <v>1121.43</v>
      </c>
    </row>
    <row r="23" spans="3:5" x14ac:dyDescent="0.35">
      <c r="C23" s="4" t="s">
        <v>71</v>
      </c>
      <c r="D23" s="5">
        <v>19079.62</v>
      </c>
      <c r="E23" s="5">
        <v>15977.79</v>
      </c>
    </row>
    <row r="24" spans="3:5" x14ac:dyDescent="0.35">
      <c r="C24" s="19" t="s">
        <v>72</v>
      </c>
      <c r="D24" s="20"/>
      <c r="E24" s="20"/>
    </row>
    <row r="25" spans="3:5" x14ac:dyDescent="0.35">
      <c r="C25" s="1" t="s">
        <v>73</v>
      </c>
      <c r="D25" s="3">
        <v>-4851.93</v>
      </c>
      <c r="E25" s="3">
        <v>-3597.39</v>
      </c>
    </row>
    <row r="26" spans="3:5" x14ac:dyDescent="0.35">
      <c r="C26" s="1" t="s">
        <v>74</v>
      </c>
      <c r="D26" s="3">
        <v>-154.52000000000001</v>
      </c>
      <c r="E26" s="3">
        <v>-110.58</v>
      </c>
    </row>
    <row r="27" spans="3:5" x14ac:dyDescent="0.35">
      <c r="C27" s="4" t="s">
        <v>75</v>
      </c>
      <c r="D27" s="5">
        <v>14073.17</v>
      </c>
      <c r="E27" s="5">
        <v>12269.82</v>
      </c>
    </row>
    <row r="28" spans="3:5" x14ac:dyDescent="0.35">
      <c r="C28" s="19" t="s">
        <v>76</v>
      </c>
      <c r="D28" s="20"/>
      <c r="E28" s="20"/>
    </row>
    <row r="29" spans="3:5" x14ac:dyDescent="0.35">
      <c r="C29" s="1" t="s">
        <v>77</v>
      </c>
      <c r="D29" s="3">
        <v>-132.94999999999999</v>
      </c>
      <c r="E29" s="3">
        <v>139.76</v>
      </c>
    </row>
    <row r="30" spans="3:5" x14ac:dyDescent="0.35">
      <c r="C30" s="1" t="s">
        <v>78</v>
      </c>
      <c r="D30" s="3">
        <v>21.9</v>
      </c>
      <c r="E30" s="3">
        <v>-43.33</v>
      </c>
    </row>
    <row r="31" spans="3:5" x14ac:dyDescent="0.35">
      <c r="C31" s="1" t="s">
        <v>79</v>
      </c>
      <c r="D31" s="3">
        <v>310.88</v>
      </c>
      <c r="E31" s="3">
        <v>83.36</v>
      </c>
    </row>
    <row r="32" spans="3:5" x14ac:dyDescent="0.35">
      <c r="C32" s="1" t="s">
        <v>80</v>
      </c>
      <c r="D32" s="3">
        <v>-19.75</v>
      </c>
      <c r="E32" s="3">
        <v>4.37</v>
      </c>
    </row>
    <row r="33" spans="3:5" x14ac:dyDescent="0.35">
      <c r="C33" s="4" t="s">
        <v>81</v>
      </c>
      <c r="D33" s="5">
        <v>14253.25</v>
      </c>
      <c r="E33" s="5">
        <v>12453.98</v>
      </c>
    </row>
    <row r="34" spans="3:5" x14ac:dyDescent="0.35">
      <c r="C34" s="1" t="s">
        <v>82</v>
      </c>
      <c r="D34" s="3">
        <v>12929.1</v>
      </c>
      <c r="E34" s="3">
        <v>11268.64</v>
      </c>
    </row>
    <row r="35" spans="3:5" x14ac:dyDescent="0.35">
      <c r="C35" s="1" t="s">
        <v>83</v>
      </c>
      <c r="D35" s="3">
        <v>1144.07</v>
      </c>
      <c r="E35" s="3">
        <v>1001.18</v>
      </c>
    </row>
    <row r="36" spans="3:5" ht="29" x14ac:dyDescent="0.35">
      <c r="C36" s="1" t="s">
        <v>84</v>
      </c>
      <c r="D36" s="3">
        <v>150.86000000000001</v>
      </c>
      <c r="E36" s="3">
        <v>142.08000000000001</v>
      </c>
    </row>
    <row r="37" spans="3:5" ht="29" x14ac:dyDescent="0.35">
      <c r="C37" s="1" t="s">
        <v>85</v>
      </c>
      <c r="D37" s="3">
        <v>29.22</v>
      </c>
      <c r="E37" s="3">
        <v>42.08</v>
      </c>
    </row>
    <row r="38" spans="3:5" x14ac:dyDescent="0.35">
      <c r="C38" s="1" t="s">
        <v>86</v>
      </c>
      <c r="D38" s="3">
        <v>13079.96</v>
      </c>
      <c r="E38" s="3">
        <v>11410.72</v>
      </c>
    </row>
    <row r="39" spans="3:5" x14ac:dyDescent="0.35">
      <c r="C39" s="1" t="s">
        <v>87</v>
      </c>
      <c r="D39" s="3">
        <v>1173.29</v>
      </c>
      <c r="E39" s="3">
        <v>1043.26</v>
      </c>
    </row>
    <row r="40" spans="3:5" x14ac:dyDescent="0.35">
      <c r="C40" s="1" t="s">
        <v>88</v>
      </c>
      <c r="D40" s="3">
        <v>115.91</v>
      </c>
      <c r="E40" s="3">
        <v>101.14</v>
      </c>
    </row>
    <row r="41" spans="3:5" x14ac:dyDescent="0.35">
      <c r="C41" s="1" t="s">
        <v>89</v>
      </c>
      <c r="D41" s="3">
        <v>115.06</v>
      </c>
      <c r="E41" s="3">
        <v>100.7</v>
      </c>
    </row>
    <row r="42" spans="3:5" x14ac:dyDescent="0.35">
      <c r="C42" s="1" t="s">
        <v>90</v>
      </c>
      <c r="D42" s="3">
        <v>558.15</v>
      </c>
      <c r="E42" s="3">
        <v>557.38</v>
      </c>
    </row>
    <row r="43" spans="3:5" x14ac:dyDescent="0.35">
      <c r="C43" s="1" t="s">
        <v>1</v>
      </c>
      <c r="D43" s="3">
        <v>76480.710000000006</v>
      </c>
      <c r="E43" s="3">
        <v>65633.17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3C17-5DFB-4D87-B60B-83EF75CC6717}">
  <dimension ref="C1:E63"/>
  <sheetViews>
    <sheetView workbookViewId="0">
      <selection activeCell="G9" sqref="G9"/>
    </sheetView>
  </sheetViews>
  <sheetFormatPr defaultColWidth="8.81640625" defaultRowHeight="14.5" x14ac:dyDescent="0.35"/>
  <cols>
    <col min="3" max="3" width="99.81640625" customWidth="1"/>
    <col min="4" max="5" width="11.81640625" bestFit="1" customWidth="1"/>
  </cols>
  <sheetData>
    <row r="1" spans="3:5" x14ac:dyDescent="0.35">
      <c r="C1" t="s">
        <v>148</v>
      </c>
    </row>
    <row r="3" spans="3:5" x14ac:dyDescent="0.35">
      <c r="C3" s="23" t="s">
        <v>38</v>
      </c>
      <c r="D3" s="2">
        <v>2025</v>
      </c>
      <c r="E3" s="2">
        <v>2024</v>
      </c>
    </row>
    <row r="4" spans="3:5" x14ac:dyDescent="0.35">
      <c r="C4" s="24" t="s">
        <v>93</v>
      </c>
      <c r="D4" s="2"/>
      <c r="E4" s="2"/>
    </row>
    <row r="5" spans="3:5" x14ac:dyDescent="0.35">
      <c r="C5" s="11" t="s">
        <v>69</v>
      </c>
      <c r="D5" s="3">
        <v>17542.2</v>
      </c>
      <c r="E5" s="3">
        <v>14856.36</v>
      </c>
    </row>
    <row r="6" spans="3:5" x14ac:dyDescent="0.35">
      <c r="C6" s="25" t="s">
        <v>94</v>
      </c>
      <c r="D6" s="26"/>
      <c r="E6" s="26"/>
    </row>
    <row r="7" spans="3:5" x14ac:dyDescent="0.35">
      <c r="C7" s="11" t="s">
        <v>65</v>
      </c>
      <c r="D7" s="3">
        <v>6073.65</v>
      </c>
      <c r="E7" s="3">
        <v>4723.78</v>
      </c>
    </row>
    <row r="8" spans="3:5" x14ac:dyDescent="0.35">
      <c r="C8" s="11" t="s">
        <v>95</v>
      </c>
      <c r="D8" s="3">
        <v>44.6</v>
      </c>
      <c r="E8" s="3">
        <v>-74.33</v>
      </c>
    </row>
    <row r="9" spans="3:5" x14ac:dyDescent="0.35">
      <c r="C9" s="11" t="s">
        <v>96</v>
      </c>
      <c r="D9" s="3">
        <v>-18.18</v>
      </c>
      <c r="E9" s="3">
        <v>43.45</v>
      </c>
    </row>
    <row r="10" spans="3:5" x14ac:dyDescent="0.35">
      <c r="C10" s="11" t="s">
        <v>55</v>
      </c>
      <c r="D10" s="3">
        <v>-461.07</v>
      </c>
      <c r="E10" s="3">
        <v>-798.97</v>
      </c>
    </row>
    <row r="11" spans="3:5" x14ac:dyDescent="0.35">
      <c r="C11" s="11" t="s">
        <v>66</v>
      </c>
      <c r="D11" s="3">
        <v>30.84</v>
      </c>
      <c r="E11" s="3">
        <v>32.92</v>
      </c>
    </row>
    <row r="12" spans="3:5" x14ac:dyDescent="0.35">
      <c r="C12" s="11" t="s">
        <v>97</v>
      </c>
      <c r="D12" s="3">
        <v>-1242.5</v>
      </c>
      <c r="E12" s="3">
        <v>-784.77</v>
      </c>
    </row>
    <row r="13" spans="3:5" x14ac:dyDescent="0.35">
      <c r="C13" s="11" t="s">
        <v>98</v>
      </c>
      <c r="D13" s="3">
        <v>681.51</v>
      </c>
      <c r="E13" s="3">
        <v>544.05999999999995</v>
      </c>
    </row>
    <row r="14" spans="3:5" x14ac:dyDescent="0.35">
      <c r="C14" s="11" t="s">
        <v>99</v>
      </c>
      <c r="D14" s="3">
        <v>120.15</v>
      </c>
      <c r="E14" s="3">
        <v>128.86000000000001</v>
      </c>
    </row>
    <row r="15" spans="3:5" x14ac:dyDescent="0.35">
      <c r="C15" s="11" t="s">
        <v>100</v>
      </c>
      <c r="D15" s="3">
        <v>-388.15</v>
      </c>
      <c r="E15" s="3">
        <v>-1069.9100000000001</v>
      </c>
    </row>
    <row r="16" spans="3:5" x14ac:dyDescent="0.35">
      <c r="C16" s="11" t="s">
        <v>101</v>
      </c>
      <c r="D16" s="3">
        <v>-333.21</v>
      </c>
      <c r="E16" s="3">
        <v>-60.21</v>
      </c>
    </row>
    <row r="17" spans="3:5" x14ac:dyDescent="0.35">
      <c r="C17" s="21" t="s">
        <v>102</v>
      </c>
      <c r="D17" s="22">
        <v>4507.6400000000003</v>
      </c>
      <c r="E17" s="22">
        <v>2684.88</v>
      </c>
    </row>
    <row r="18" spans="3:5" x14ac:dyDescent="0.35">
      <c r="C18" s="21" t="s">
        <v>103</v>
      </c>
      <c r="D18" s="22">
        <v>22049.84</v>
      </c>
      <c r="E18" s="22">
        <v>17541.240000000002</v>
      </c>
    </row>
    <row r="19" spans="3:5" x14ac:dyDescent="0.35">
      <c r="C19" s="25" t="s">
        <v>104</v>
      </c>
      <c r="D19" s="26"/>
      <c r="E19" s="26"/>
    </row>
    <row r="20" spans="3:5" x14ac:dyDescent="0.35">
      <c r="C20" s="11" t="s">
        <v>105</v>
      </c>
      <c r="D20" s="3">
        <v>-3781.89</v>
      </c>
      <c r="E20" s="3">
        <v>-1889.81</v>
      </c>
    </row>
    <row r="21" spans="3:5" x14ac:dyDescent="0.35">
      <c r="C21" s="11" t="s">
        <v>106</v>
      </c>
      <c r="D21" s="3">
        <v>-17170.29</v>
      </c>
      <c r="E21" s="3">
        <v>-19887</v>
      </c>
    </row>
    <row r="22" spans="3:5" x14ac:dyDescent="0.35">
      <c r="C22" s="11" t="s">
        <v>32</v>
      </c>
      <c r="D22" s="3">
        <v>-1646.35</v>
      </c>
      <c r="E22" s="3">
        <v>-1752.64</v>
      </c>
    </row>
    <row r="23" spans="3:5" x14ac:dyDescent="0.35">
      <c r="C23" s="11" t="s">
        <v>107</v>
      </c>
      <c r="D23" s="3">
        <v>8485.19</v>
      </c>
      <c r="E23" s="3">
        <v>4354.3599999999997</v>
      </c>
    </row>
    <row r="24" spans="3:5" x14ac:dyDescent="0.35">
      <c r="C24" s="21" t="s">
        <v>108</v>
      </c>
      <c r="D24" s="22">
        <v>-14113.34</v>
      </c>
      <c r="E24" s="22">
        <v>-19175.09</v>
      </c>
    </row>
    <row r="25" spans="3:5" x14ac:dyDescent="0.35">
      <c r="C25" s="21" t="s">
        <v>109</v>
      </c>
      <c r="D25" s="22">
        <v>7936.5</v>
      </c>
      <c r="E25" s="22">
        <v>-1633.85</v>
      </c>
    </row>
    <row r="26" spans="3:5" x14ac:dyDescent="0.35">
      <c r="C26" s="11" t="s">
        <v>110</v>
      </c>
      <c r="D26" s="3">
        <v>-4760.6899999999996</v>
      </c>
      <c r="E26" s="3">
        <v>-3996.1</v>
      </c>
    </row>
    <row r="27" spans="3:5" x14ac:dyDescent="0.35">
      <c r="C27" s="21" t="s">
        <v>111</v>
      </c>
      <c r="D27" s="22">
        <v>3175.81</v>
      </c>
      <c r="E27" s="22">
        <v>-5629.95</v>
      </c>
    </row>
    <row r="28" spans="3:5" x14ac:dyDescent="0.35">
      <c r="C28" s="25" t="s">
        <v>112</v>
      </c>
      <c r="D28" s="26"/>
      <c r="E28" s="26"/>
    </row>
    <row r="29" spans="3:5" x14ac:dyDescent="0.35">
      <c r="C29" s="11" t="s">
        <v>113</v>
      </c>
      <c r="D29" s="3">
        <v>-10391.950000000001</v>
      </c>
      <c r="E29" s="3">
        <v>-9945.99</v>
      </c>
    </row>
    <row r="30" spans="3:5" x14ac:dyDescent="0.35">
      <c r="C30" s="11" t="s">
        <v>114</v>
      </c>
      <c r="D30" s="3">
        <v>582.96</v>
      </c>
      <c r="E30" s="3">
        <v>273.23</v>
      </c>
    </row>
    <row r="31" spans="3:5" x14ac:dyDescent="0.35">
      <c r="C31" s="11" t="s">
        <v>115</v>
      </c>
      <c r="D31" s="3">
        <v>-90594.98</v>
      </c>
      <c r="E31" s="3">
        <v>-49926.64</v>
      </c>
    </row>
    <row r="32" spans="3:5" x14ac:dyDescent="0.35">
      <c r="C32" s="11" t="s">
        <v>116</v>
      </c>
      <c r="D32" s="3">
        <v>85257.15</v>
      </c>
      <c r="E32" s="3">
        <v>50919.360000000001</v>
      </c>
    </row>
    <row r="33" spans="3:5" x14ac:dyDescent="0.35">
      <c r="C33" s="11" t="s">
        <v>117</v>
      </c>
      <c r="D33" s="3">
        <v>883.9</v>
      </c>
      <c r="E33" s="3">
        <v>703.28</v>
      </c>
    </row>
    <row r="34" spans="3:5" x14ac:dyDescent="0.35">
      <c r="C34" s="11" t="s">
        <v>118</v>
      </c>
      <c r="D34" s="3">
        <v>1364.65</v>
      </c>
      <c r="E34" s="3">
        <v>1200.31</v>
      </c>
    </row>
    <row r="35" spans="3:5" x14ac:dyDescent="0.35">
      <c r="C35" s="11" t="s">
        <v>119</v>
      </c>
      <c r="D35" s="3">
        <v>9.5500000000000007</v>
      </c>
      <c r="E35" s="3">
        <v>12.38</v>
      </c>
    </row>
    <row r="36" spans="3:5" x14ac:dyDescent="0.35">
      <c r="C36" s="11" t="s">
        <v>120</v>
      </c>
      <c r="D36" s="3">
        <v>59.71</v>
      </c>
      <c r="E36" s="3">
        <v>27.27</v>
      </c>
    </row>
    <row r="37" spans="3:5" x14ac:dyDescent="0.35">
      <c r="C37" s="11" t="s">
        <v>121</v>
      </c>
      <c r="D37" s="3">
        <v>-15139.63</v>
      </c>
      <c r="E37" s="3">
        <v>-12270.39</v>
      </c>
    </row>
    <row r="38" spans="3:5" x14ac:dyDescent="0.35">
      <c r="C38" s="11" t="s">
        <v>122</v>
      </c>
      <c r="D38" s="3">
        <v>9034.06</v>
      </c>
      <c r="E38" s="3">
        <v>12199.41</v>
      </c>
    </row>
    <row r="39" spans="3:5" x14ac:dyDescent="0.35">
      <c r="C39" s="11" t="s">
        <v>123</v>
      </c>
      <c r="D39" s="3">
        <v>20.83</v>
      </c>
      <c r="E39" s="3">
        <v>10.23</v>
      </c>
    </row>
    <row r="40" spans="3:5" x14ac:dyDescent="0.35">
      <c r="C40" s="11" t="s">
        <v>124</v>
      </c>
      <c r="D40" s="3">
        <v>-471</v>
      </c>
      <c r="E40" s="3">
        <v>-410.08</v>
      </c>
    </row>
    <row r="41" spans="3:5" x14ac:dyDescent="0.35">
      <c r="C41" s="11" t="s">
        <v>125</v>
      </c>
      <c r="D41" s="3">
        <v>227</v>
      </c>
      <c r="E41" s="3">
        <v>895.55</v>
      </c>
    </row>
    <row r="42" spans="3:5" x14ac:dyDescent="0.35">
      <c r="C42" s="11" t="s">
        <v>126</v>
      </c>
      <c r="D42" s="3">
        <v>-29.1</v>
      </c>
      <c r="E42" s="3">
        <v>-248.84</v>
      </c>
    </row>
    <row r="43" spans="3:5" x14ac:dyDescent="0.35">
      <c r="C43" s="11" t="s">
        <v>127</v>
      </c>
      <c r="D43" s="3">
        <v>0</v>
      </c>
      <c r="E43" s="3">
        <v>-52.87</v>
      </c>
    </row>
    <row r="44" spans="3:5" x14ac:dyDescent="0.35">
      <c r="C44" s="11" t="s">
        <v>128</v>
      </c>
      <c r="D44" s="3">
        <v>0</v>
      </c>
      <c r="E44" s="3">
        <v>20.239999999999998</v>
      </c>
    </row>
    <row r="45" spans="3:5" x14ac:dyDescent="0.35">
      <c r="C45" s="11" t="s">
        <v>129</v>
      </c>
      <c r="D45" s="3">
        <v>560.74</v>
      </c>
      <c r="E45" s="3">
        <v>995.78</v>
      </c>
    </row>
    <row r="46" spans="3:5" x14ac:dyDescent="0.35">
      <c r="C46" s="21" t="s">
        <v>130</v>
      </c>
      <c r="D46" s="22">
        <v>-18626.11</v>
      </c>
      <c r="E46" s="22">
        <v>-5597.77</v>
      </c>
    </row>
    <row r="47" spans="3:5" x14ac:dyDescent="0.35">
      <c r="C47" s="25" t="s">
        <v>131</v>
      </c>
      <c r="D47" s="26"/>
      <c r="E47" s="26"/>
    </row>
    <row r="48" spans="3:5" x14ac:dyDescent="0.35">
      <c r="C48" s="11" t="s">
        <v>132</v>
      </c>
      <c r="D48" s="3">
        <v>0.73</v>
      </c>
      <c r="E48" s="3">
        <v>0.51</v>
      </c>
    </row>
    <row r="49" spans="3:5" x14ac:dyDescent="0.35">
      <c r="C49" s="11" t="s">
        <v>133</v>
      </c>
      <c r="D49" s="3">
        <v>82589.64</v>
      </c>
      <c r="E49" s="3">
        <v>61307.839999999997</v>
      </c>
    </row>
    <row r="50" spans="3:5" x14ac:dyDescent="0.35">
      <c r="C50" s="11" t="s">
        <v>134</v>
      </c>
      <c r="D50" s="3">
        <v>-64227.06</v>
      </c>
      <c r="E50" s="3">
        <v>-46443.19</v>
      </c>
    </row>
    <row r="51" spans="3:5" x14ac:dyDescent="0.35">
      <c r="C51" s="11" t="s">
        <v>135</v>
      </c>
      <c r="D51" s="3">
        <v>-462.16</v>
      </c>
      <c r="E51" s="3">
        <v>-362.03</v>
      </c>
    </row>
    <row r="52" spans="3:5" x14ac:dyDescent="0.35">
      <c r="C52" s="11" t="s">
        <v>136</v>
      </c>
      <c r="D52" s="3">
        <v>2050</v>
      </c>
      <c r="E52" s="3">
        <v>1600</v>
      </c>
    </row>
    <row r="53" spans="3:5" x14ac:dyDescent="0.35">
      <c r="C53" s="11" t="s">
        <v>137</v>
      </c>
      <c r="D53" s="3">
        <v>-887.11</v>
      </c>
      <c r="E53" s="3">
        <v>-785.5</v>
      </c>
    </row>
    <row r="54" spans="3:5" x14ac:dyDescent="0.35">
      <c r="C54" s="11" t="s">
        <v>138</v>
      </c>
      <c r="D54" s="3">
        <v>-2348.5500000000002</v>
      </c>
      <c r="E54" s="3">
        <v>-1810.54</v>
      </c>
    </row>
    <row r="55" spans="3:5" x14ac:dyDescent="0.35">
      <c r="C55" s="11" t="s">
        <v>139</v>
      </c>
      <c r="D55" s="3">
        <v>-457.88</v>
      </c>
      <c r="E55" s="3">
        <v>-436.46</v>
      </c>
    </row>
    <row r="56" spans="3:5" x14ac:dyDescent="0.35">
      <c r="C56" s="11" t="s">
        <v>140</v>
      </c>
      <c r="D56" s="3">
        <v>12.47</v>
      </c>
      <c r="E56" s="3">
        <v>-192.35</v>
      </c>
    </row>
    <row r="57" spans="3:5" x14ac:dyDescent="0.35">
      <c r="C57" s="11" t="s">
        <v>141</v>
      </c>
      <c r="D57" s="3">
        <v>-435.97</v>
      </c>
      <c r="E57" s="3">
        <v>-596.87</v>
      </c>
    </row>
    <row r="58" spans="3:5" x14ac:dyDescent="0.35">
      <c r="C58" s="21" t="s">
        <v>142</v>
      </c>
      <c r="D58" s="22">
        <v>15834.11</v>
      </c>
      <c r="E58" s="22">
        <v>12281.41</v>
      </c>
    </row>
    <row r="59" spans="3:5" x14ac:dyDescent="0.35">
      <c r="C59" s="21" t="s">
        <v>143</v>
      </c>
      <c r="D59" s="22">
        <v>383.81</v>
      </c>
      <c r="E59" s="22">
        <v>1053.69</v>
      </c>
    </row>
    <row r="60" spans="3:5" x14ac:dyDescent="0.35">
      <c r="C60" s="11" t="s">
        <v>144</v>
      </c>
      <c r="D60" s="3">
        <v>4530.1000000000004</v>
      </c>
      <c r="E60" s="3">
        <v>3493.41</v>
      </c>
    </row>
    <row r="61" spans="3:5" x14ac:dyDescent="0.35">
      <c r="C61" s="11" t="s">
        <v>145</v>
      </c>
      <c r="D61" s="3">
        <v>0</v>
      </c>
      <c r="E61" s="3">
        <v>-4.97</v>
      </c>
    </row>
    <row r="62" spans="3:5" x14ac:dyDescent="0.35">
      <c r="C62" s="11" t="s">
        <v>146</v>
      </c>
      <c r="D62" s="3">
        <v>9.98</v>
      </c>
      <c r="E62" s="3">
        <v>-12.03</v>
      </c>
    </row>
    <row r="63" spans="3:5" x14ac:dyDescent="0.35">
      <c r="C63" s="21" t="s">
        <v>147</v>
      </c>
      <c r="D63" s="22">
        <v>4923.8900000000003</v>
      </c>
      <c r="E63" s="22">
        <v>4530.1000000000004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8DA32-BD1F-44B5-A94E-3D1A85F47B8E}">
  <dimension ref="C1:G18"/>
  <sheetViews>
    <sheetView zoomScale="61" workbookViewId="0">
      <selection activeCell="C1" sqref="C1"/>
    </sheetView>
  </sheetViews>
  <sheetFormatPr defaultColWidth="8.81640625" defaultRowHeight="14.5" x14ac:dyDescent="0.35"/>
  <cols>
    <col min="3" max="3" width="31.36328125" customWidth="1"/>
    <col min="4" max="4" width="41.36328125" customWidth="1"/>
    <col min="5" max="5" width="19" customWidth="1"/>
    <col min="6" max="6" width="18.6328125" customWidth="1"/>
    <col min="7" max="7" width="127.54296875" customWidth="1"/>
  </cols>
  <sheetData>
    <row r="1" spans="3:7" ht="28.5" x14ac:dyDescent="0.65">
      <c r="C1" s="40" t="s">
        <v>195</v>
      </c>
    </row>
    <row r="3" spans="3:7" ht="28.5" x14ac:dyDescent="0.65">
      <c r="C3" s="28" t="s">
        <v>149</v>
      </c>
      <c r="D3" s="28" t="s">
        <v>150</v>
      </c>
      <c r="E3" s="33" t="s">
        <v>173</v>
      </c>
      <c r="F3" s="33" t="s">
        <v>174</v>
      </c>
      <c r="G3" s="36" t="s">
        <v>175</v>
      </c>
    </row>
    <row r="4" spans="3:7" ht="40" x14ac:dyDescent="0.5">
      <c r="C4" s="29" t="s">
        <v>151</v>
      </c>
      <c r="D4" s="30" t="s">
        <v>152</v>
      </c>
      <c r="E4" s="34">
        <f>'balance sheet '!D60/'balance sheet '!D31</f>
        <v>1.4013557714227132</v>
      </c>
      <c r="F4" s="34">
        <f>'balance sheet '!E60/'balance sheet '!E31</f>
        <v>1.3007451785774562</v>
      </c>
      <c r="G4" s="38" t="s">
        <v>177</v>
      </c>
    </row>
    <row r="5" spans="3:7" ht="21" x14ac:dyDescent="0.5">
      <c r="C5" s="29" t="s">
        <v>153</v>
      </c>
      <c r="D5" s="30" t="s">
        <v>154</v>
      </c>
      <c r="E5" s="34">
        <f>('balance sheet '!D60-'balance sheet '!D51)/'balance sheet '!D31</f>
        <v>1.1762619100261387</v>
      </c>
      <c r="F5" s="34">
        <f>('balance sheet '!E60-'balance sheet '!E51)/'balance sheet '!E31</f>
        <v>1.0546625781894789</v>
      </c>
      <c r="G5" s="34" t="s">
        <v>176</v>
      </c>
    </row>
    <row r="6" spans="3:7" ht="21" x14ac:dyDescent="0.5">
      <c r="C6" s="31"/>
      <c r="D6" s="31"/>
      <c r="E6" s="34"/>
      <c r="F6" s="34"/>
      <c r="G6" s="34"/>
    </row>
    <row r="7" spans="3:7" ht="42" x14ac:dyDescent="0.5">
      <c r="C7" s="29" t="s">
        <v>155</v>
      </c>
      <c r="D7" s="30" t="s">
        <v>156</v>
      </c>
      <c r="E7" s="34">
        <f>('balance sheet '!D14+'balance sheet '!D23)/'balance sheet '!D11</f>
        <v>1.3599962962131587</v>
      </c>
      <c r="F7" s="34">
        <f>('balance sheet '!E14+'balance sheet '!E23)/'balance sheet '!E11</f>
        <v>1.3314941141286976</v>
      </c>
      <c r="G7" s="37" t="s">
        <v>178</v>
      </c>
    </row>
    <row r="8" spans="3:7" ht="42" x14ac:dyDescent="0.5">
      <c r="C8" s="29" t="s">
        <v>157</v>
      </c>
      <c r="D8" s="30" t="s">
        <v>158</v>
      </c>
      <c r="E8" s="34">
        <f>('profit and loss statement '!D23+'profit and loss statement '!D16)/'profit and loss statement '!D16</f>
        <v>3.1004955198444635</v>
      </c>
      <c r="F8" s="34">
        <f>('profit and loss statement '!E23+'profit and loss statement '!E16)/'profit and loss statement '!E16</f>
        <v>3.1337262176140892</v>
      </c>
      <c r="G8" s="37" t="s">
        <v>179</v>
      </c>
    </row>
    <row r="9" spans="3:7" ht="21" x14ac:dyDescent="0.5">
      <c r="C9" s="31"/>
      <c r="D9" s="31"/>
      <c r="E9" s="34"/>
      <c r="F9" s="34"/>
      <c r="G9" s="34"/>
    </row>
    <row r="10" spans="3:7" ht="42" x14ac:dyDescent="0.5">
      <c r="C10" s="29" t="s">
        <v>159</v>
      </c>
      <c r="D10" s="30" t="s">
        <v>160</v>
      </c>
      <c r="E10" s="34">
        <f>('profit and loss statement '!D12+'profit and loss statement '!D13+'profit and loss statement '!D14)/'balance sheet '!D51</f>
        <v>4.7092149744256666</v>
      </c>
      <c r="F10" s="34">
        <f>('profit and loss statement '!E12+'profit and loss statement '!E13+'profit and loss statement '!E14)/'balance sheet '!E51</f>
        <v>4.4977211442206677</v>
      </c>
      <c r="G10" s="37" t="s">
        <v>180</v>
      </c>
    </row>
    <row r="11" spans="3:7" ht="42" x14ac:dyDescent="0.5">
      <c r="C11" s="29" t="s">
        <v>161</v>
      </c>
      <c r="D11" s="30" t="s">
        <v>162</v>
      </c>
      <c r="E11" s="34">
        <f>'profit and loss statement '!D6/'balance sheet '!D53</f>
        <v>19.173369808084832</v>
      </c>
      <c r="F11" s="34">
        <f>'profit and loss statement '!E6/'balance sheet '!E53</f>
        <v>18.53759015470413</v>
      </c>
      <c r="G11" s="37" t="s">
        <v>181</v>
      </c>
    </row>
    <row r="12" spans="3:7" ht="42" x14ac:dyDescent="0.5">
      <c r="C12" s="29" t="s">
        <v>163</v>
      </c>
      <c r="D12" s="30" t="s">
        <v>164</v>
      </c>
      <c r="E12" s="34">
        <f>'profit and loss statement '!D6/'balance sheet '!D61</f>
        <v>0.57189337930870998</v>
      </c>
      <c r="F12" s="34">
        <f>'profit and loss statement '!E6/'balance sheet '!E61</f>
        <v>0.58518354979267306</v>
      </c>
      <c r="G12" s="37" t="s">
        <v>182</v>
      </c>
    </row>
    <row r="13" spans="3:7" ht="21" x14ac:dyDescent="0.5">
      <c r="C13" s="31"/>
      <c r="D13" s="31"/>
      <c r="E13" s="34"/>
      <c r="F13" s="34"/>
      <c r="G13" s="34"/>
    </row>
    <row r="14" spans="3:7" ht="21" x14ac:dyDescent="0.5">
      <c r="C14" s="29" t="s">
        <v>165</v>
      </c>
      <c r="D14" s="30" t="s">
        <v>166</v>
      </c>
      <c r="E14" s="35">
        <f>('profit and loss statement '!D6-('profit and loss statement '!D12+'profit and loss statement '!D13+'profit and loss statement '!D14))/'profit and loss statement '!D6</f>
        <v>0.39689530219732622</v>
      </c>
      <c r="F14" s="35">
        <f>('profit and loss statement '!E6-('profit and loss statement '!E12+'profit and loss statement '!E13+'profit and loss statement '!E14))/'profit and loss statement '!E6</f>
        <v>0.39531983456670661</v>
      </c>
      <c r="G14" s="34" t="s">
        <v>183</v>
      </c>
    </row>
    <row r="15" spans="3:7" ht="42" x14ac:dyDescent="0.5">
      <c r="C15" s="29" t="s">
        <v>167</v>
      </c>
      <c r="D15" s="30" t="s">
        <v>168</v>
      </c>
      <c r="E15" s="35">
        <f>'profit and loss statement '!D27/'profit and loss statement '!D6</f>
        <v>8.8650029370124991E-2</v>
      </c>
      <c r="F15" s="35">
        <f>'profit and loss statement '!E27/'profit and loss statement '!E6</f>
        <v>8.8732152968665601E-2</v>
      </c>
      <c r="G15" s="37" t="s">
        <v>184</v>
      </c>
    </row>
    <row r="16" spans="3:7" ht="42" x14ac:dyDescent="0.5">
      <c r="C16" s="29" t="s">
        <v>169</v>
      </c>
      <c r="D16" s="30" t="s">
        <v>170</v>
      </c>
      <c r="E16" s="35">
        <f>'profit and loss statement '!D27/'balance sheet '!D61</f>
        <v>5.0698364872297175E-2</v>
      </c>
      <c r="F16" s="35">
        <v>0.05</v>
      </c>
      <c r="G16" s="37" t="s">
        <v>185</v>
      </c>
    </row>
    <row r="17" spans="3:7" ht="42" x14ac:dyDescent="0.5">
      <c r="C17" s="29" t="s">
        <v>171</v>
      </c>
      <c r="D17" s="30" t="s">
        <v>172</v>
      </c>
      <c r="E17" s="35">
        <f>'profit and loss statement '!D27/'balance sheet '!D11</f>
        <v>0.15795158140474533</v>
      </c>
      <c r="F17" s="35">
        <f>'profit and loss statement '!D27/'balance sheet '!D11</f>
        <v>0.15795158140474533</v>
      </c>
      <c r="G17" s="37" t="s">
        <v>186</v>
      </c>
    </row>
    <row r="18" spans="3:7" ht="21" x14ac:dyDescent="0.5">
      <c r="G18" s="3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 and title </vt:lpstr>
      <vt:lpstr>balance sheet </vt:lpstr>
      <vt:lpstr>profit and loss statement </vt:lpstr>
      <vt:lpstr>cash flow</vt:lpstr>
      <vt:lpstr>ratio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kartik agrawal, omkar madavi</dc:creator>
  <cp:keywords/>
  <dc:description/>
  <cp:lastModifiedBy>kartik agrawal</cp:lastModifiedBy>
  <dcterms:created xsi:type="dcterms:W3CDTF">2026-09-24T17:06:13Z</dcterms:created>
  <dcterms:modified xsi:type="dcterms:W3CDTF">2026-09-25T18:46:18Z</dcterms:modified>
  <cp:category/>
</cp:coreProperties>
</file>